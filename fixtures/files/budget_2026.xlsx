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B AB" sheetId="1" r:id="rId1"/>
    <sheet name="MB Resta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cols>
    <col min="1" max="1" width="3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4.83203125" customWidth="1"/>
  </cols>
  <sheetData>
    <row r="1">
      <c r="A1" t="str">
        <v>Budget 2026</v>
      </c>
    </row>
    <row r="2">
      <c r="A2" t="str">
        <v>Miljonbemanning AB</v>
      </c>
    </row>
    <row r="3">
      <c r="A3" t="str">
        <v>Belopp i kronor, kostnader med minustecken</v>
      </c>
    </row>
    <row r="5">
      <c r="A5" t="str">
        <v>Post</v>
      </c>
      <c r="B5" t="str">
        <v>Jan</v>
      </c>
      <c r="C5" t="str">
        <v>Feb</v>
      </c>
      <c r="D5" t="str">
        <v>Mar</v>
      </c>
      <c r="E5" t="str">
        <v>Apr</v>
      </c>
      <c r="F5" t="str">
        <v>Maj</v>
      </c>
      <c r="G5" t="str">
        <v>Jun</v>
      </c>
      <c r="H5" t="str">
        <v>Jul</v>
      </c>
      <c r="I5" t="str">
        <v>Aug</v>
      </c>
      <c r="J5" t="str">
        <v>Sep</v>
      </c>
      <c r="K5" t="str">
        <v>Okt</v>
      </c>
      <c r="L5" t="str">
        <v>Nov</v>
      </c>
      <c r="M5" t="str">
        <v>Dec</v>
      </c>
      <c r="N5" t="str">
        <v>Helår</v>
      </c>
    </row>
    <row r="6">
      <c r="A6" t="str">
        <v>Intäkter</v>
      </c>
      <c r="B6" s="1">
        <v>2773000</v>
      </c>
      <c r="C6" s="1">
        <v>2823000</v>
      </c>
      <c r="D6" s="1">
        <v>3093000</v>
      </c>
      <c r="E6" s="1">
        <v>2949000</v>
      </c>
      <c r="F6" s="1">
        <v>3104000</v>
      </c>
      <c r="G6" s="1">
        <v>3150000</v>
      </c>
      <c r="H6" s="1">
        <v>2317000</v>
      </c>
      <c r="I6" s="1">
        <v>2631000</v>
      </c>
      <c r="J6" s="1">
        <v>3078000</v>
      </c>
      <c r="K6" s="1">
        <v>3220000</v>
      </c>
      <c r="L6" s="1">
        <v>3244000</v>
      </c>
      <c r="M6" s="1">
        <v>3051000</v>
      </c>
      <c r="N6" s="1">
        <f>SUM(B6:M6)</f>
        <v>35433000</v>
      </c>
    </row>
    <row r="7">
      <c r="A7" t="str">
        <v>Varor och underleverantörer</v>
      </c>
      <c r="B7" s="1">
        <v>-153000</v>
      </c>
      <c r="C7" s="1">
        <v>-155000</v>
      </c>
      <c r="D7" s="1">
        <v>-170000</v>
      </c>
      <c r="E7" s="1">
        <v>-162000</v>
      </c>
      <c r="F7" s="1">
        <v>-171000</v>
      </c>
      <c r="G7" s="1">
        <v>-173000</v>
      </c>
      <c r="H7" s="1">
        <v>-127000</v>
      </c>
      <c r="I7" s="1">
        <v>-145000</v>
      </c>
      <c r="J7" s="1">
        <v>-169000</v>
      </c>
      <c r="K7" s="1">
        <v>-177000</v>
      </c>
      <c r="L7" s="1">
        <v>-178000</v>
      </c>
      <c r="M7" s="1">
        <v>-168000</v>
      </c>
      <c r="N7" s="1">
        <f>SUM(B7:M7)</f>
        <v>-1948000</v>
      </c>
    </row>
    <row r="8">
      <c r="A8" t="str">
        <v>Övriga externa kostnader</v>
      </c>
      <c r="B8" s="1">
        <v>-375000</v>
      </c>
      <c r="C8" s="1">
        <v>-376000</v>
      </c>
      <c r="D8" s="1">
        <v>-382000</v>
      </c>
      <c r="E8" s="1">
        <v>-379000</v>
      </c>
      <c r="F8" s="1">
        <v>-382000</v>
      </c>
      <c r="G8" s="1">
        <v>-383000</v>
      </c>
      <c r="H8" s="1">
        <v>-366000</v>
      </c>
      <c r="I8" s="1">
        <v>-373000</v>
      </c>
      <c r="J8" s="1">
        <v>-382000</v>
      </c>
      <c r="K8" s="1">
        <v>-384000</v>
      </c>
      <c r="L8" s="1">
        <v>-385000</v>
      </c>
      <c r="M8" s="1">
        <v>-381000</v>
      </c>
      <c r="N8" s="1">
        <f>SUM(B8:M8)</f>
        <v>-4548000</v>
      </c>
    </row>
    <row r="9">
      <c r="A9" t="str">
        <v>Personalkostnader</v>
      </c>
      <c r="B9" s="1">
        <v>-2066000</v>
      </c>
      <c r="C9" s="1">
        <v>-2103000</v>
      </c>
      <c r="D9" s="1">
        <v>-2304000</v>
      </c>
      <c r="E9" s="1">
        <v>-2197000</v>
      </c>
      <c r="F9" s="1">
        <v>-2312000</v>
      </c>
      <c r="G9" s="1">
        <v>-2347000</v>
      </c>
      <c r="H9" s="1">
        <v>-1726000</v>
      </c>
      <c r="I9" s="1">
        <v>-1960000</v>
      </c>
      <c r="J9" s="1">
        <v>-2293000</v>
      </c>
      <c r="K9" s="1">
        <v>-2399000</v>
      </c>
      <c r="L9" s="1">
        <v>-2417000</v>
      </c>
      <c r="M9" s="1">
        <v>-2273000</v>
      </c>
      <c r="N9" s="1">
        <f>SUM(B9:M9)</f>
        <v>-26397000</v>
      </c>
    </row>
    <row r="10">
      <c r="A10" t="str">
        <v>Avskrivningar</v>
      </c>
      <c r="B10" s="1">
        <v>-14000</v>
      </c>
      <c r="C10" s="1">
        <v>-14000</v>
      </c>
      <c r="D10" s="1">
        <v>-14000</v>
      </c>
      <c r="E10" s="1">
        <v>-14000</v>
      </c>
      <c r="F10" s="1">
        <v>-14000</v>
      </c>
      <c r="G10" s="1">
        <v>-14000</v>
      </c>
      <c r="H10" s="1">
        <v>-14000</v>
      </c>
      <c r="I10" s="1">
        <v>-14000</v>
      </c>
      <c r="J10" s="1">
        <v>-14000</v>
      </c>
      <c r="K10" s="1">
        <v>-14000</v>
      </c>
      <c r="L10" s="1">
        <v>-14000</v>
      </c>
      <c r="M10" s="1">
        <v>-14000</v>
      </c>
      <c r="N10" s="1">
        <f>SUM(B10:M10)</f>
        <v>-168000</v>
      </c>
    </row>
    <row r="11">
      <c r="A11" t="str">
        <v>Rörelseresultat</v>
      </c>
      <c r="B11" s="1">
        <f>SUM(B6:B10)</f>
        <v>165000</v>
      </c>
      <c r="C11" s="1">
        <f>SUM(C6:C10)</f>
        <v>175000</v>
      </c>
      <c r="D11" s="1">
        <f>SUM(D6:D10)</f>
        <v>223000</v>
      </c>
      <c r="E11" s="1">
        <f>SUM(E6:E10)</f>
        <v>197000</v>
      </c>
      <c r="F11" s="1">
        <f>SUM(F6:F10)</f>
        <v>225000</v>
      </c>
      <c r="G11" s="1">
        <f>SUM(G6:G10)</f>
        <v>233000</v>
      </c>
      <c r="H11" s="1">
        <f>SUM(H6:H10)</f>
        <v>84000</v>
      </c>
      <c r="I11" s="1">
        <f>SUM(I6:I10)</f>
        <v>139000</v>
      </c>
      <c r="J11" s="1">
        <f>SUM(J6:J10)</f>
        <v>220000</v>
      </c>
      <c r="K11" s="1">
        <f>SUM(K6:K10)</f>
        <v>246000</v>
      </c>
      <c r="L11" s="1">
        <f>SUM(L6:L10)</f>
        <v>250000</v>
      </c>
      <c r="M11" s="1">
        <f>SUM(M6:M10)</f>
        <v>215000</v>
      </c>
      <c r="N11" s="1">
        <f>SUM(B11:M11)</f>
        <v>2372000</v>
      </c>
    </row>
    <row r="13">
      <c r="A13" t="str">
        <v>Finansiella poster</v>
      </c>
      <c r="B13" s="1">
        <v>-4500</v>
      </c>
      <c r="C13" s="1">
        <v>-4500</v>
      </c>
      <c r="D13" s="1">
        <v>-4500</v>
      </c>
      <c r="E13" s="1">
        <v>-4500</v>
      </c>
      <c r="F13" s="1">
        <v>-4500</v>
      </c>
      <c r="G13" s="1">
        <v>-4500</v>
      </c>
      <c r="H13" s="1">
        <v>-4500</v>
      </c>
      <c r="I13" s="1">
        <v>-4500</v>
      </c>
      <c r="J13" s="1">
        <v>-4500</v>
      </c>
      <c r="K13" s="1">
        <v>-4500</v>
      </c>
      <c r="L13" s="1">
        <v>-4500</v>
      </c>
      <c r="M13" s="1">
        <v>-4500</v>
      </c>
      <c r="N13" s="1">
        <f>SUM(B13:M13)</f>
        <v>-54000</v>
      </c>
    </row>
    <row r="14">
      <c r="A14" t="str">
        <v>Resultat efter finansiella poster</v>
      </c>
      <c r="B14" s="1">
        <f>B11+B13</f>
        <v>160500</v>
      </c>
      <c r="C14" s="1">
        <f>C11+C13</f>
        <v>170500</v>
      </c>
      <c r="D14" s="1">
        <f>D11+D13</f>
        <v>218500</v>
      </c>
      <c r="E14" s="1">
        <f>E11+E13</f>
        <v>192500</v>
      </c>
      <c r="F14" s="1">
        <f>F11+F13</f>
        <v>220500</v>
      </c>
      <c r="G14" s="1">
        <f>G11+G13</f>
        <v>228500</v>
      </c>
      <c r="H14" s="1">
        <f>H11+H13</f>
        <v>79500</v>
      </c>
      <c r="I14" s="1">
        <f>I11+I13</f>
        <v>134500</v>
      </c>
      <c r="J14" s="1">
        <f>J11+J13</f>
        <v>215500</v>
      </c>
      <c r="K14" s="1">
        <f>K11+K13</f>
        <v>241500</v>
      </c>
      <c r="L14" s="1">
        <f>L11+L13</f>
        <v>245500</v>
      </c>
      <c r="M14" s="1">
        <f>M11+M13</f>
        <v>210500</v>
      </c>
      <c r="N14" s="1">
        <f>SUM(B14:M14)</f>
        <v>2318000</v>
      </c>
    </row>
  </sheetData>
  <mergeCells count="1">
    <mergeCell ref="A1:N1"/>
  </mergeCells>
  <ignoredErrors>
    <ignoredError numberStoredAsText="1" sqref="A1:N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cols>
    <col min="1" max="1" width="3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4.83203125" customWidth="1"/>
  </cols>
  <sheetData>
    <row r="1">
      <c r="A1" t="str">
        <v>Budget 2026</v>
      </c>
    </row>
    <row r="2">
      <c r="A2" t="str">
        <v>Miljonbemanning Restart AB</v>
      </c>
    </row>
    <row r="3">
      <c r="A3" t="str">
        <v>Belopp i kronor, kostnader med minustecken</v>
      </c>
    </row>
    <row r="5">
      <c r="A5" t="str">
        <v>Post</v>
      </c>
      <c r="B5" t="str">
        <v>Jan</v>
      </c>
      <c r="C5" t="str">
        <v>Feb</v>
      </c>
      <c r="D5" t="str">
        <v>Mar</v>
      </c>
      <c r="E5" t="str">
        <v>Apr</v>
      </c>
      <c r="F5" t="str">
        <v>Maj</v>
      </c>
      <c r="G5" t="str">
        <v>Jun</v>
      </c>
      <c r="H5" t="str">
        <v>Jul</v>
      </c>
      <c r="I5" t="str">
        <v>Aug</v>
      </c>
      <c r="J5" t="str">
        <v>Sep</v>
      </c>
      <c r="K5" t="str">
        <v>Okt</v>
      </c>
      <c r="L5" t="str">
        <v>Nov</v>
      </c>
      <c r="M5" t="str">
        <v>Dec</v>
      </c>
      <c r="N5" t="str">
        <v>Helår</v>
      </c>
    </row>
    <row r="6">
      <c r="A6" t="str">
        <v>Intäkter</v>
      </c>
      <c r="B6" s="1">
        <v>1184000</v>
      </c>
      <c r="C6" s="1">
        <v>1200000</v>
      </c>
      <c r="D6" s="1">
        <v>1227000</v>
      </c>
      <c r="E6" s="1">
        <v>1164000</v>
      </c>
      <c r="F6" s="1">
        <v>1153000</v>
      </c>
      <c r="G6" s="1">
        <v>1118000</v>
      </c>
      <c r="H6" s="1">
        <v>836000</v>
      </c>
      <c r="I6" s="1">
        <v>1041000</v>
      </c>
      <c r="J6" s="1">
        <v>1254000</v>
      </c>
      <c r="K6" s="1">
        <v>1221000</v>
      </c>
      <c r="L6" s="1">
        <v>1256000</v>
      </c>
      <c r="M6" s="1">
        <v>1138000</v>
      </c>
      <c r="N6" s="1">
        <f>SUM(B6:M6)</f>
        <v>13792000</v>
      </c>
    </row>
    <row r="7">
      <c r="A7" t="str">
        <v>Varor och underleverantörer</v>
      </c>
      <c r="B7" s="1">
        <v>-36000</v>
      </c>
      <c r="C7" s="1">
        <v>-36000</v>
      </c>
      <c r="D7" s="1">
        <v>-37000</v>
      </c>
      <c r="E7" s="1">
        <v>-35000</v>
      </c>
      <c r="F7" s="1">
        <v>-35000</v>
      </c>
      <c r="G7" s="1">
        <v>-34000</v>
      </c>
      <c r="H7" s="1">
        <v>-25000</v>
      </c>
      <c r="I7" s="1">
        <v>-31000</v>
      </c>
      <c r="J7" s="1">
        <v>-38000</v>
      </c>
      <c r="K7" s="1">
        <v>-37000</v>
      </c>
      <c r="L7" s="1">
        <v>-38000</v>
      </c>
      <c r="M7" s="1">
        <v>-34000</v>
      </c>
      <c r="N7" s="1">
        <f>SUM(B7:M7)</f>
        <v>-416000</v>
      </c>
    </row>
    <row r="8">
      <c r="A8" t="str">
        <v>Övriga externa kostnader</v>
      </c>
      <c r="B8" s="1">
        <v>-241000</v>
      </c>
      <c r="C8" s="1">
        <v>-241000</v>
      </c>
      <c r="D8" s="1">
        <v>-242000</v>
      </c>
      <c r="E8" s="1">
        <v>-240000</v>
      </c>
      <c r="F8" s="1">
        <v>-240000</v>
      </c>
      <c r="G8" s="1">
        <v>-239000</v>
      </c>
      <c r="H8" s="1">
        <v>-230000</v>
      </c>
      <c r="I8" s="1">
        <v>-236000</v>
      </c>
      <c r="J8" s="1">
        <v>-243000</v>
      </c>
      <c r="K8" s="1">
        <v>-242000</v>
      </c>
      <c r="L8" s="1">
        <v>-243000</v>
      </c>
      <c r="M8" s="1">
        <v>-239000</v>
      </c>
      <c r="N8" s="1">
        <f>SUM(B8:M8)</f>
        <v>-2876000</v>
      </c>
    </row>
    <row r="9">
      <c r="A9" t="str">
        <v>Personalkostnader</v>
      </c>
      <c r="B9" s="1">
        <v>-746000</v>
      </c>
      <c r="C9" s="1">
        <v>-756000</v>
      </c>
      <c r="D9" s="1">
        <v>-773000</v>
      </c>
      <c r="E9" s="1">
        <v>-733000</v>
      </c>
      <c r="F9" s="1">
        <v>-726000</v>
      </c>
      <c r="G9" s="1">
        <v>-704000</v>
      </c>
      <c r="H9" s="1">
        <v>-527000</v>
      </c>
      <c r="I9" s="1">
        <v>-656000</v>
      </c>
      <c r="J9" s="1">
        <v>-790000</v>
      </c>
      <c r="K9" s="1">
        <v>-769000</v>
      </c>
      <c r="L9" s="1">
        <v>-791000</v>
      </c>
      <c r="M9" s="1">
        <v>-717000</v>
      </c>
      <c r="N9" s="1">
        <f>SUM(B9:M9)</f>
        <v>-8688000</v>
      </c>
    </row>
    <row r="10">
      <c r="A10" t="str">
        <v>Avskrivningar</v>
      </c>
      <c r="B10" s="1">
        <v>-3500</v>
      </c>
      <c r="C10" s="1">
        <v>-3500</v>
      </c>
      <c r="D10" s="1">
        <v>-3500</v>
      </c>
      <c r="E10" s="1">
        <v>-3500</v>
      </c>
      <c r="F10" s="1">
        <v>-3500</v>
      </c>
      <c r="G10" s="1">
        <v>-3500</v>
      </c>
      <c r="H10" s="1">
        <v>-3500</v>
      </c>
      <c r="I10" s="1">
        <v>-3500</v>
      </c>
      <c r="J10" s="1">
        <v>-3500</v>
      </c>
      <c r="K10" s="1">
        <v>-3500</v>
      </c>
      <c r="L10" s="1">
        <v>-3500</v>
      </c>
      <c r="M10" s="1">
        <v>-3500</v>
      </c>
      <c r="N10" s="1">
        <f>SUM(B10:M10)</f>
        <v>-42000</v>
      </c>
    </row>
    <row r="11">
      <c r="A11" t="str">
        <v>Rörelseresultat</v>
      </c>
      <c r="B11" s="1">
        <f>SUM(B6:B10)</f>
        <v>157500</v>
      </c>
      <c r="C11" s="1">
        <f>SUM(C6:C10)</f>
        <v>163500</v>
      </c>
      <c r="D11" s="1">
        <f>SUM(D6:D10)</f>
        <v>171500</v>
      </c>
      <c r="E11" s="1">
        <f>SUM(E6:E10)</f>
        <v>152500</v>
      </c>
      <c r="F11" s="1">
        <f>SUM(F6:F10)</f>
        <v>148500</v>
      </c>
      <c r="G11" s="1">
        <f>SUM(G6:G10)</f>
        <v>137500</v>
      </c>
      <c r="H11" s="1">
        <f>SUM(H6:H10)</f>
        <v>50500</v>
      </c>
      <c r="I11" s="1">
        <f>SUM(I6:I10)</f>
        <v>114500</v>
      </c>
      <c r="J11" s="1">
        <f>SUM(J6:J10)</f>
        <v>179500</v>
      </c>
      <c r="K11" s="1">
        <f>SUM(K6:K10)</f>
        <v>169500</v>
      </c>
      <c r="L11" s="1">
        <f>SUM(L6:L10)</f>
        <v>180500</v>
      </c>
      <c r="M11" s="1">
        <f>SUM(M6:M10)</f>
        <v>144500</v>
      </c>
      <c r="N11" s="1">
        <f>SUM(B11:M11)</f>
        <v>1770000</v>
      </c>
    </row>
    <row r="13">
      <c r="A13" t="str">
        <v>Finansiella poster</v>
      </c>
      <c r="B13" s="1">
        <v>-900</v>
      </c>
      <c r="C13" s="1">
        <v>-900</v>
      </c>
      <c r="D13" s="1">
        <v>-900</v>
      </c>
      <c r="E13" s="1">
        <v>-900</v>
      </c>
      <c r="F13" s="1">
        <v>-900</v>
      </c>
      <c r="G13" s="1">
        <v>-900</v>
      </c>
      <c r="H13" s="1">
        <v>-900</v>
      </c>
      <c r="I13" s="1">
        <v>-900</v>
      </c>
      <c r="J13" s="1">
        <v>-900</v>
      </c>
      <c r="K13" s="1">
        <v>-900</v>
      </c>
      <c r="L13" s="1">
        <v>-900</v>
      </c>
      <c r="M13" s="1">
        <v>-900</v>
      </c>
      <c r="N13" s="1">
        <f>SUM(B13:M13)</f>
        <v>-10800</v>
      </c>
    </row>
    <row r="14">
      <c r="A14" t="str">
        <v>Resultat efter finansiella poster</v>
      </c>
      <c r="B14" s="1">
        <f>B11+B13</f>
        <v>156600</v>
      </c>
      <c r="C14" s="1">
        <f>C11+C13</f>
        <v>162600</v>
      </c>
      <c r="D14" s="1">
        <f>D11+D13</f>
        <v>170600</v>
      </c>
      <c r="E14" s="1">
        <f>E11+E13</f>
        <v>151600</v>
      </c>
      <c r="F14" s="1">
        <f>F11+F13</f>
        <v>147600</v>
      </c>
      <c r="G14" s="1">
        <f>G11+G13</f>
        <v>136600</v>
      </c>
      <c r="H14" s="1">
        <f>H11+H13</f>
        <v>49600</v>
      </c>
      <c r="I14" s="1">
        <f>I11+I13</f>
        <v>113600</v>
      </c>
      <c r="J14" s="1">
        <f>J11+J13</f>
        <v>178600</v>
      </c>
      <c r="K14" s="1">
        <f>K11+K13</f>
        <v>168600</v>
      </c>
      <c r="L14" s="1">
        <f>L11+L13</f>
        <v>179600</v>
      </c>
      <c r="M14" s="1">
        <f>M11+M13</f>
        <v>143600</v>
      </c>
      <c r="N14" s="1">
        <f>SUM(B14:M14)</f>
        <v>1759200</v>
      </c>
    </row>
  </sheetData>
  <mergeCells count="1">
    <mergeCell ref="A1:N1"/>
  </mergeCells>
  <ignoredErrors>
    <ignoredError numberStoredAsText="1" sqref="A1: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 AB</vt:lpstr>
      <vt:lpstr>MB Restart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